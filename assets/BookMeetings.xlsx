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pac065/git/joereddington.github.io/assets/"/>
    </mc:Choice>
  </mc:AlternateContent>
  <xr:revisionPtr revIDLastSave="0" documentId="13_ncr:1_{BB82CC2F-0032-4641-B9FA-3B665BFE3508}" xr6:coauthVersionLast="47" xr6:coauthVersionMax="47" xr10:uidLastSave="{00000000-0000-0000-0000-000000000000}"/>
  <bookViews>
    <workbookView xWindow="1300" yWindow="-18460" windowWidth="27240" windowHeight="16440" xr2:uid="{F811353B-8B3B-DB4F-85F5-26013604AF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D17" i="1" s="1"/>
  <c r="D28" i="1"/>
  <c r="D26" i="1"/>
  <c r="D18" i="1"/>
  <c r="D2" i="1"/>
  <c r="D3" i="1" s="1"/>
  <c r="D4" i="1" s="1"/>
  <c r="D5" i="1" s="1"/>
  <c r="D6" i="1" s="1"/>
  <c r="D7" i="1" s="1"/>
  <c r="D8" i="1" s="1"/>
  <c r="D9" i="1" s="1"/>
  <c r="B34" i="1"/>
  <c r="B33" i="1"/>
  <c r="B32" i="1"/>
  <c r="B31" i="1"/>
  <c r="C30" i="1"/>
  <c r="C31" i="1" s="1"/>
  <c r="C32" i="1" s="1"/>
  <c r="C33" i="1" s="1"/>
  <c r="C34" i="1" s="1"/>
  <c r="B30" i="1"/>
  <c r="C29" i="1"/>
  <c r="B29" i="1"/>
  <c r="B28" i="1"/>
  <c r="C27" i="1"/>
  <c r="B27" i="1"/>
  <c r="B26" i="1"/>
  <c r="B25" i="1"/>
  <c r="B24" i="1"/>
  <c r="B23" i="1"/>
  <c r="C22" i="1"/>
  <c r="C23" i="1" s="1"/>
  <c r="C24" i="1" s="1"/>
  <c r="C25" i="1" s="1"/>
  <c r="B22" i="1"/>
  <c r="C21" i="1"/>
  <c r="B21" i="1"/>
  <c r="B20" i="1"/>
  <c r="C19" i="1"/>
  <c r="B19" i="1"/>
  <c r="B18" i="1"/>
  <c r="B17" i="1"/>
  <c r="B16" i="1"/>
  <c r="B15" i="1"/>
  <c r="B14" i="1"/>
  <c r="B13" i="1"/>
  <c r="C12" i="1"/>
  <c r="C13" i="1" s="1"/>
  <c r="C14" i="1" s="1"/>
  <c r="C15" i="1" s="1"/>
  <c r="C16" i="1" s="1"/>
  <c r="C17" i="1" s="1"/>
  <c r="B12" i="1"/>
  <c r="C11" i="1"/>
  <c r="B11" i="1"/>
  <c r="D10" i="1"/>
  <c r="D11" i="1" s="1"/>
  <c r="D12" i="1" s="1"/>
  <c r="B10" i="1"/>
  <c r="B9" i="1"/>
  <c r="B8" i="1"/>
  <c r="B7" i="1"/>
  <c r="B6" i="1"/>
  <c r="B5" i="1"/>
  <c r="C4" i="1"/>
  <c r="C5" i="1" s="1"/>
  <c r="C6" i="1" s="1"/>
  <c r="C7" i="1" s="1"/>
  <c r="C8" i="1" s="1"/>
  <c r="C9" i="1" s="1"/>
  <c r="B4" i="1"/>
  <c r="C3" i="1"/>
  <c r="B3" i="1"/>
  <c r="B2" i="1"/>
  <c r="D15" i="1" l="1"/>
  <c r="D13" i="1"/>
  <c r="D14" i="1" l="1"/>
  <c r="D19" i="1" s="1"/>
  <c r="D20" i="1" s="1"/>
  <c r="D21" i="1" s="1"/>
  <c r="D22" i="1" s="1"/>
  <c r="D23" i="1" s="1"/>
  <c r="D24" i="1" s="1"/>
  <c r="D25" i="1" s="1"/>
  <c r="D27" i="1" s="1"/>
  <c r="D29" i="1" s="1"/>
  <c r="D30" i="1" s="1"/>
  <c r="D31" i="1" s="1"/>
  <c r="D32" i="1" s="1"/>
  <c r="D33" i="1" s="1"/>
  <c r="D34" i="1" s="1"/>
</calcChain>
</file>

<file path=xl/sharedStrings.xml><?xml version="1.0" encoding="utf-8"?>
<sst xmlns="http://schemas.openxmlformats.org/spreadsheetml/2006/main" count="79" uniqueCount="37">
  <si>
    <t xml:space="preserve">Date </t>
  </si>
  <si>
    <t>Day</t>
  </si>
  <si>
    <t>Time</t>
  </si>
  <si>
    <t>Status</t>
  </si>
  <si>
    <t>Student Name</t>
  </si>
  <si>
    <t>Meeting Gap</t>
  </si>
  <si>
    <t>IF YOU NEED TO CANCEL A BOOKING, WRITE YOUR NAME AND "(CANCELED") NEXT TO IT</t>
  </si>
  <si>
    <t xml:space="preserve">Okay guys - this: </t>
  </si>
  <si>
    <t>Thu</t>
  </si>
  <si>
    <t>Teams</t>
  </si>
  <si>
    <t>Bingo</t>
  </si>
  <si>
    <t>Bluey</t>
  </si>
  <si>
    <t>Bandit</t>
  </si>
  <si>
    <t>Fri</t>
  </si>
  <si>
    <t>Chilli</t>
  </si>
  <si>
    <t>Muffin</t>
  </si>
  <si>
    <t>is annyoing…</t>
  </si>
  <si>
    <t xml:space="preserve">(I've changed the names but that was literally my bookings) </t>
  </si>
  <si>
    <t xml:space="preserve">However this: </t>
  </si>
  <si>
    <t xml:space="preserve">Is the actions of bright motivated students who are wonderful people.   </t>
  </si>
  <si>
    <t>To make my bookings look more like the first than the second, I've added a simple "Available/Booked/Busy", formula</t>
  </si>
  <si>
    <t>Nick Fury</t>
  </si>
  <si>
    <t>Maria Hill</t>
  </si>
  <si>
    <t>Phil Coulson</t>
  </si>
  <si>
    <t>Shang-Chi</t>
  </si>
  <si>
    <t>She-Hulk</t>
  </si>
  <si>
    <t>Daredevil</t>
  </si>
  <si>
    <t>Iron Fist</t>
  </si>
  <si>
    <t>The Punisher</t>
  </si>
  <si>
    <t>Moon Knight</t>
  </si>
  <si>
    <t>Ms. Marvel</t>
  </si>
  <si>
    <t>Kate Bishop</t>
  </si>
  <si>
    <t>Thanos</t>
  </si>
  <si>
    <t>Hela</t>
  </si>
  <si>
    <t>Valkyrie</t>
  </si>
  <si>
    <t>Korg</t>
  </si>
  <si>
    <t>Heimdall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</si>
</sst>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65" formatCode="[$-409]d\-mmm;@"/>
  </numFmts>
  <fonts count="5" x14ac:knownFonts="1">
    <font>
      <sz val="12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164" fontId="1" fillId="0" borderId="2" xfId="0" applyNumberFormat="1" applyFont="1" applyBorder="1"/>
    <xf numFmtId="0" fontId="1" fillId="0" borderId="3" xfId="0" applyFont="1" applyBorder="1"/>
    <xf numFmtId="21" fontId="0" fillId="0" borderId="0" xfId="0" applyNumberFormat="1"/>
    <xf numFmtId="22" fontId="0" fillId="0" borderId="0" xfId="0" applyNumberFormat="1"/>
    <xf numFmtId="165" fontId="0" fillId="0" borderId="1" xfId="0" applyNumberFormat="1" applyBorder="1"/>
    <xf numFmtId="0" fontId="0" fillId="0" borderId="2" xfId="0" applyBorder="1"/>
    <xf numFmtId="164" fontId="0" fillId="0" borderId="2" xfId="0" applyNumberFormat="1" applyBorder="1"/>
    <xf numFmtId="0" fontId="0" fillId="0" borderId="3" xfId="0" applyBorder="1"/>
    <xf numFmtId="0" fontId="3" fillId="0" borderId="0" xfId="0" applyFont="1"/>
    <xf numFmtId="165" fontId="0" fillId="0" borderId="4" xfId="0" applyNumberFormat="1" applyBorder="1"/>
    <xf numFmtId="164" fontId="0" fillId="0" borderId="0" xfId="0" applyNumberFormat="1"/>
    <xf numFmtId="0" fontId="0" fillId="0" borderId="5" xfId="0" applyBorder="1"/>
    <xf numFmtId="14" fontId="4" fillId="0" borderId="1" xfId="0" applyNumberFormat="1" applyFont="1" applyBorder="1"/>
    <xf numFmtId="0" fontId="4" fillId="0" borderId="2" xfId="0" applyFont="1" applyBorder="1"/>
    <xf numFmtId="0" fontId="4" fillId="0" borderId="3" xfId="0" applyFont="1" applyBorder="1"/>
    <xf numFmtId="14" fontId="4" fillId="0" borderId="4" xfId="0" applyNumberFormat="1" applyFont="1" applyBorder="1"/>
    <xf numFmtId="0" fontId="4" fillId="0" borderId="5" xfId="0" applyFont="1" applyBorder="1"/>
    <xf numFmtId="165" fontId="0" fillId="0" borderId="6" xfId="0" applyNumberFormat="1" applyBorder="1"/>
    <xf numFmtId="0" fontId="0" fillId="0" borderId="7" xfId="0" applyBorder="1"/>
    <xf numFmtId="164" fontId="0" fillId="0" borderId="7" xfId="0" applyNumberFormat="1" applyBorder="1"/>
    <xf numFmtId="0" fontId="0" fillId="0" borderId="8" xfId="0" applyBorder="1"/>
    <xf numFmtId="14" fontId="4" fillId="0" borderId="9" xfId="0" applyNumberFormat="1" applyFont="1" applyBorder="1"/>
    <xf numFmtId="0" fontId="4" fillId="0" borderId="10" xfId="0" applyFont="1" applyBorder="1"/>
    <xf numFmtId="0" fontId="4" fillId="0" borderId="11" xfId="0" applyFont="1" applyBorder="1"/>
    <xf numFmtId="165" fontId="0" fillId="0" borderId="9" xfId="0" applyNumberFormat="1" applyBorder="1"/>
    <xf numFmtId="0" fontId="0" fillId="0" borderId="10" xfId="0" applyBorder="1"/>
    <xf numFmtId="164" fontId="0" fillId="0" borderId="10" xfId="0" applyNumberFormat="1" applyBorder="1"/>
    <xf numFmtId="0" fontId="0" fillId="0" borderId="11" xfId="0" applyBorder="1"/>
    <xf numFmtId="0" fontId="4" fillId="0" borderId="0" xfId="0" applyFont="1" applyBorder="1"/>
    <xf numFmtId="164" fontId="0" fillId="0" borderId="0" xfId="0" applyNumberFormat="1" applyBorder="1"/>
    <xf numFmtId="0" fontId="2" fillId="0" borderId="0" xfId="0" applyFont="1" applyBorder="1"/>
    <xf numFmtId="0" fontId="0" fillId="0" borderId="0" xfId="0" applyBorder="1"/>
    <xf numFmtId="0" fontId="2" fillId="0" borderId="5" xfId="0" applyFont="1" applyBorder="1"/>
    <xf numFmtId="0" fontId="2" fillId="0" borderId="11" xfId="0" applyFont="1" applyBorder="1"/>
    <xf numFmtId="0" fontId="2" fillId="0" borderId="3" xfId="0" applyFont="1" applyBorder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8C5E4-8093-034A-835D-6314DC645CD4}">
  <dimension ref="A1:O36"/>
  <sheetViews>
    <sheetView tabSelected="1" workbookViewId="0">
      <selection activeCell="E4" sqref="E4"/>
    </sheetView>
  </sheetViews>
  <sheetFormatPr baseColWidth="10" defaultRowHeight="16" x14ac:dyDescent="0.2"/>
  <cols>
    <col min="5" max="5" width="15.1640625" customWidth="1"/>
  </cols>
  <sheetData>
    <row r="1" spans="1:15" ht="17" thickBot="1" x14ac:dyDescent="0.25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G1" t="s">
        <v>5</v>
      </c>
      <c r="H1" s="5">
        <v>1.3888888888888888E-2</v>
      </c>
      <c r="I1" s="6"/>
    </row>
    <row r="2" spans="1:15" x14ac:dyDescent="0.2">
      <c r="A2" s="7">
        <v>46092</v>
      </c>
      <c r="B2" s="8" t="str">
        <f t="shared" ref="B2:B14" si="0">TEXT(A2,"ddd")</f>
        <v>Wed</v>
      </c>
      <c r="C2" s="9">
        <v>0.39583333333333331</v>
      </c>
      <c r="D2" s="33" t="str">
        <f>IF(E2&lt;&gt;"","Booked","Available")</f>
        <v>Available</v>
      </c>
      <c r="E2" s="10"/>
      <c r="K2" s="11" t="s">
        <v>6</v>
      </c>
    </row>
    <row r="3" spans="1:15" x14ac:dyDescent="0.2">
      <c r="A3" s="12">
        <v>46092</v>
      </c>
      <c r="B3" s="34" t="str">
        <f t="shared" si="0"/>
        <v>Wed</v>
      </c>
      <c r="C3" s="32">
        <f t="shared" ref="C3:C9" si="1">C2+$H$1</f>
        <v>0.40972222222222221</v>
      </c>
      <c r="D3" s="34" t="str">
        <f t="shared" ref="D3:D8" si="2">IF(AND(D2="Booked",E2&lt;&gt;""),IF(E3&lt;&gt;"","Booked","Available"),"Unavailable")</f>
        <v>Unavailable</v>
      </c>
      <c r="E3" s="14"/>
    </row>
    <row r="4" spans="1:15" x14ac:dyDescent="0.2">
      <c r="A4" s="12">
        <v>46092</v>
      </c>
      <c r="B4" s="34" t="str">
        <f t="shared" si="0"/>
        <v>Wed</v>
      </c>
      <c r="C4" s="32">
        <f t="shared" si="1"/>
        <v>0.4236111111111111</v>
      </c>
      <c r="D4" s="34" t="str">
        <f t="shared" si="2"/>
        <v>Unavailable</v>
      </c>
      <c r="E4" s="14"/>
      <c r="K4" t="s">
        <v>7</v>
      </c>
    </row>
    <row r="5" spans="1:15" ht="17" thickBot="1" x14ac:dyDescent="0.25">
      <c r="A5" s="12">
        <v>46092</v>
      </c>
      <c r="B5" s="34" t="str">
        <f t="shared" si="0"/>
        <v>Wed</v>
      </c>
      <c r="C5" s="32">
        <f t="shared" si="1"/>
        <v>0.4375</v>
      </c>
      <c r="D5" s="34" t="str">
        <f t="shared" si="2"/>
        <v>Unavailable</v>
      </c>
      <c r="E5" s="14"/>
    </row>
    <row r="6" spans="1:15" x14ac:dyDescent="0.2">
      <c r="A6" s="12">
        <v>46092</v>
      </c>
      <c r="B6" s="34" t="str">
        <f t="shared" si="0"/>
        <v>Wed</v>
      </c>
      <c r="C6" s="32">
        <f t="shared" si="1"/>
        <v>0.4513888888888889</v>
      </c>
      <c r="D6" s="34" t="str">
        <f t="shared" si="2"/>
        <v>Unavailable</v>
      </c>
      <c r="E6" s="14"/>
      <c r="K6" s="15">
        <v>46086</v>
      </c>
      <c r="L6" s="16" t="s">
        <v>8</v>
      </c>
      <c r="M6" s="16" t="s">
        <v>9</v>
      </c>
      <c r="N6" s="9">
        <v>0.45833333333333331</v>
      </c>
      <c r="O6" s="17" t="s">
        <v>10</v>
      </c>
    </row>
    <row r="7" spans="1:15" x14ac:dyDescent="0.2">
      <c r="A7" s="12">
        <v>46092</v>
      </c>
      <c r="B7" s="34" t="str">
        <f t="shared" si="0"/>
        <v>Wed</v>
      </c>
      <c r="C7" s="32">
        <f t="shared" si="1"/>
        <v>0.46527777777777779</v>
      </c>
      <c r="D7" s="34" t="str">
        <f t="shared" si="2"/>
        <v>Unavailable</v>
      </c>
      <c r="E7" s="14"/>
      <c r="K7" s="18">
        <v>46086</v>
      </c>
      <c r="L7" s="31" t="s">
        <v>8</v>
      </c>
      <c r="M7" s="31" t="s">
        <v>9</v>
      </c>
      <c r="N7" s="32">
        <v>0.47222222222222221</v>
      </c>
      <c r="O7" s="19"/>
    </row>
    <row r="8" spans="1:15" x14ac:dyDescent="0.2">
      <c r="A8" s="12">
        <v>46092</v>
      </c>
      <c r="B8" s="34" t="str">
        <f t="shared" si="0"/>
        <v>Wed</v>
      </c>
      <c r="C8" s="32">
        <f t="shared" si="1"/>
        <v>0.47916666666666669</v>
      </c>
      <c r="D8" s="34" t="str">
        <f t="shared" si="2"/>
        <v>Unavailable</v>
      </c>
      <c r="E8" s="14"/>
      <c r="K8" s="18">
        <v>46086</v>
      </c>
      <c r="L8" s="31" t="s">
        <v>8</v>
      </c>
      <c r="M8" s="31" t="s">
        <v>9</v>
      </c>
      <c r="N8" s="32">
        <v>0.4861111111111111</v>
      </c>
      <c r="O8" s="19"/>
    </row>
    <row r="9" spans="1:15" x14ac:dyDescent="0.2">
      <c r="A9" s="20">
        <v>46092</v>
      </c>
      <c r="B9" s="21" t="str">
        <f t="shared" si="0"/>
        <v>Wed</v>
      </c>
      <c r="C9" s="22">
        <f t="shared" si="1"/>
        <v>0.49305555555555558</v>
      </c>
      <c r="D9" s="21" t="str">
        <f>IF(AND(D8="Available",E8&lt;&gt;""),"Available","Unavailable")</f>
        <v>Unavailable</v>
      </c>
      <c r="E9" s="23"/>
      <c r="K9" s="18">
        <v>46086</v>
      </c>
      <c r="L9" s="31" t="s">
        <v>8</v>
      </c>
      <c r="M9" s="31" t="s">
        <v>9</v>
      </c>
      <c r="N9" s="32">
        <v>0.5</v>
      </c>
      <c r="O9" s="19" t="s">
        <v>11</v>
      </c>
    </row>
    <row r="10" spans="1:15" x14ac:dyDescent="0.2">
      <c r="A10" s="12">
        <v>46092</v>
      </c>
      <c r="B10" s="34" t="str">
        <f t="shared" si="0"/>
        <v>Wed</v>
      </c>
      <c r="C10" s="32">
        <v>0.54166666666666663</v>
      </c>
      <c r="D10" s="33" t="str">
        <f>IF(E10&lt;&gt;"","Booked","Available")</f>
        <v>Booked</v>
      </c>
      <c r="E10" s="35" t="s">
        <v>21</v>
      </c>
      <c r="K10" s="18">
        <v>46086</v>
      </c>
      <c r="L10" s="31" t="s">
        <v>8</v>
      </c>
      <c r="M10" s="31" t="s">
        <v>9</v>
      </c>
      <c r="N10" s="32">
        <v>0.51388888888888884</v>
      </c>
      <c r="O10" s="19"/>
    </row>
    <row r="11" spans="1:15" x14ac:dyDescent="0.2">
      <c r="A11" s="12">
        <v>46092</v>
      </c>
      <c r="B11" s="34" t="str">
        <f t="shared" si="0"/>
        <v>Wed</v>
      </c>
      <c r="C11" s="32">
        <f t="shared" ref="C11:C17" si="3">C10+$H$1</f>
        <v>0.55555555555555547</v>
      </c>
      <c r="D11" s="34" t="str">
        <f t="shared" ref="D11:D14" si="4">IF(AND(D10="Booked",E10&lt;&gt;""),IF(E11&lt;&gt;"","Booked","Available"),"Unavailable")</f>
        <v>Booked</v>
      </c>
      <c r="E11" s="35" t="s">
        <v>22</v>
      </c>
      <c r="K11" s="18">
        <v>46086</v>
      </c>
      <c r="L11" s="31" t="s">
        <v>8</v>
      </c>
      <c r="M11" s="31" t="s">
        <v>9</v>
      </c>
      <c r="N11" s="32">
        <v>0.52777777777777779</v>
      </c>
      <c r="O11" s="19" t="s">
        <v>12</v>
      </c>
    </row>
    <row r="12" spans="1:15" x14ac:dyDescent="0.2">
      <c r="A12" s="12">
        <v>46092</v>
      </c>
      <c r="B12" s="34" t="str">
        <f t="shared" si="0"/>
        <v>Wed</v>
      </c>
      <c r="C12" s="32">
        <f t="shared" si="3"/>
        <v>0.56944444444444431</v>
      </c>
      <c r="D12" s="34" t="str">
        <f t="shared" si="4"/>
        <v>Booked</v>
      </c>
      <c r="E12" s="35" t="s">
        <v>23</v>
      </c>
      <c r="K12" s="18">
        <v>46087</v>
      </c>
      <c r="L12" s="31" t="s">
        <v>13</v>
      </c>
      <c r="M12" s="31" t="s">
        <v>9</v>
      </c>
      <c r="N12" s="32">
        <v>0.43055555555555558</v>
      </c>
      <c r="O12" s="19"/>
    </row>
    <row r="13" spans="1:15" x14ac:dyDescent="0.2">
      <c r="A13" s="12">
        <v>46092</v>
      </c>
      <c r="B13" s="34" t="str">
        <f t="shared" si="0"/>
        <v>Wed</v>
      </c>
      <c r="C13" s="32">
        <f t="shared" si="3"/>
        <v>0.58333333333333315</v>
      </c>
      <c r="D13" s="34" t="str">
        <f t="shared" si="4"/>
        <v>Booked</v>
      </c>
      <c r="E13" s="35" t="s">
        <v>24</v>
      </c>
      <c r="K13" s="18">
        <v>46087</v>
      </c>
      <c r="L13" s="31" t="s">
        <v>13</v>
      </c>
      <c r="M13" s="31" t="s">
        <v>9</v>
      </c>
      <c r="N13" s="32">
        <v>0.44444444444444442</v>
      </c>
      <c r="O13" s="19" t="s">
        <v>14</v>
      </c>
    </row>
    <row r="14" spans="1:15" x14ac:dyDescent="0.2">
      <c r="A14" s="12">
        <v>46092</v>
      </c>
      <c r="B14" s="34" t="str">
        <f t="shared" si="0"/>
        <v>Wed</v>
      </c>
      <c r="C14" s="32">
        <f t="shared" si="3"/>
        <v>0.59722222222222199</v>
      </c>
      <c r="D14" s="34" t="str">
        <f t="shared" si="4"/>
        <v>Booked</v>
      </c>
      <c r="E14" s="35" t="s">
        <v>25</v>
      </c>
      <c r="K14" s="18">
        <v>46087</v>
      </c>
      <c r="L14" s="31" t="s">
        <v>13</v>
      </c>
      <c r="M14" s="31" t="s">
        <v>9</v>
      </c>
      <c r="N14" s="32">
        <v>0.45833333333333331</v>
      </c>
      <c r="O14" s="19"/>
    </row>
    <row r="15" spans="1:15" ht="17" thickBot="1" x14ac:dyDescent="0.25">
      <c r="A15" s="12">
        <v>46092</v>
      </c>
      <c r="B15" s="34" t="str">
        <f>TEXT(A15,"ddd")</f>
        <v>Wed</v>
      </c>
      <c r="C15" s="32">
        <f t="shared" si="3"/>
        <v>0.61111111111111083</v>
      </c>
      <c r="D15" s="34" t="str">
        <f>IF(AND(D12="Booked",E12&lt;&gt;""),IF(E15&lt;&gt;"","Booked","Available"),"Unavailable")</f>
        <v>Booked</v>
      </c>
      <c r="E15" s="35" t="s">
        <v>26</v>
      </c>
      <c r="K15" s="24">
        <v>46087</v>
      </c>
      <c r="L15" s="25" t="s">
        <v>13</v>
      </c>
      <c r="M15" s="25" t="s">
        <v>9</v>
      </c>
      <c r="N15" s="29">
        <v>0.47222222222222221</v>
      </c>
      <c r="O15" s="26" t="s">
        <v>15</v>
      </c>
    </row>
    <row r="16" spans="1:15" ht="17" thickBot="1" x14ac:dyDescent="0.25">
      <c r="A16" s="12">
        <v>46092</v>
      </c>
      <c r="B16" s="34" t="str">
        <f>TEXT(A16,"ddd")</f>
        <v>Wed</v>
      </c>
      <c r="C16" s="32">
        <f t="shared" si="3"/>
        <v>0.62499999999999967</v>
      </c>
      <c r="D16" s="28" t="str">
        <f t="shared" ref="D16:D34" si="5">IF(AND(D15="Booked",E15&lt;&gt;""),IF(E16&lt;&gt;"","Booked","Available"),"Unavailable")</f>
        <v>Available</v>
      </c>
      <c r="E16" s="35"/>
      <c r="K16" t="s">
        <v>16</v>
      </c>
    </row>
    <row r="17" spans="1:15" ht="17" thickBot="1" x14ac:dyDescent="0.25">
      <c r="A17" s="12">
        <v>46092</v>
      </c>
      <c r="B17" s="34" t="str">
        <f>TEXT(A17,"ddd")</f>
        <v>Wed</v>
      </c>
      <c r="C17" s="32">
        <f t="shared" si="3"/>
        <v>0.63888888888888851</v>
      </c>
      <c r="D17" s="28" t="str">
        <f t="shared" si="5"/>
        <v>Unavailable</v>
      </c>
      <c r="E17" s="35"/>
      <c r="K17" t="s">
        <v>17</v>
      </c>
    </row>
    <row r="18" spans="1:15" x14ac:dyDescent="0.2">
      <c r="A18" s="7">
        <v>46093</v>
      </c>
      <c r="B18" s="8" t="str">
        <f>TEXT(A18,"ddd")</f>
        <v>Thu</v>
      </c>
      <c r="C18" s="9">
        <v>0.47916666666666669</v>
      </c>
      <c r="D18" s="33" t="str">
        <f>IF(E18&lt;&gt;"","Booked","Available")</f>
        <v>Booked</v>
      </c>
      <c r="E18" s="37" t="s">
        <v>27</v>
      </c>
    </row>
    <row r="19" spans="1:15" x14ac:dyDescent="0.2">
      <c r="A19" s="20">
        <v>46093</v>
      </c>
      <c r="B19" s="21" t="str">
        <f t="shared" ref="B19:B34" si="6">TEXT(A19,"ddd")</f>
        <v>Thu</v>
      </c>
      <c r="C19" s="22">
        <f>C18+$H$1</f>
        <v>0.49305555555555558</v>
      </c>
      <c r="D19" s="21" t="str">
        <f t="shared" si="5"/>
        <v>Booked</v>
      </c>
      <c r="E19" s="35" t="s">
        <v>28</v>
      </c>
      <c r="K19" t="s">
        <v>18</v>
      </c>
    </row>
    <row r="20" spans="1:15" ht="17" thickBot="1" x14ac:dyDescent="0.25">
      <c r="A20" s="12">
        <v>46093</v>
      </c>
      <c r="B20" s="34" t="str">
        <f t="shared" si="6"/>
        <v>Thu</v>
      </c>
      <c r="C20" s="32">
        <v>0.54166666666666663</v>
      </c>
      <c r="D20" s="34" t="str">
        <f t="shared" si="5"/>
        <v>Booked</v>
      </c>
      <c r="E20" s="35" t="s">
        <v>29</v>
      </c>
    </row>
    <row r="21" spans="1:15" x14ac:dyDescent="0.2">
      <c r="A21" s="12">
        <v>46093</v>
      </c>
      <c r="B21" s="34" t="str">
        <f t="shared" si="6"/>
        <v>Thu</v>
      </c>
      <c r="C21" s="32">
        <f>C20+$H$1</f>
        <v>0.55555555555555547</v>
      </c>
      <c r="D21" s="34" t="str">
        <f t="shared" si="5"/>
        <v>Booked</v>
      </c>
      <c r="E21" s="35" t="s">
        <v>30</v>
      </c>
      <c r="K21" s="15">
        <v>46086</v>
      </c>
      <c r="L21" s="16" t="s">
        <v>8</v>
      </c>
      <c r="M21" s="16" t="s">
        <v>9</v>
      </c>
      <c r="N21" s="9">
        <v>0.45833333333333331</v>
      </c>
      <c r="O21" s="17" t="s">
        <v>10</v>
      </c>
    </row>
    <row r="22" spans="1:15" x14ac:dyDescent="0.2">
      <c r="A22" s="12">
        <v>46093</v>
      </c>
      <c r="B22" s="34" t="str">
        <f t="shared" si="6"/>
        <v>Thu</v>
      </c>
      <c r="C22" s="32">
        <f>C21+$H$1</f>
        <v>0.56944444444444431</v>
      </c>
      <c r="D22" s="34" t="str">
        <f t="shared" si="5"/>
        <v>Booked</v>
      </c>
      <c r="E22" s="35" t="s">
        <v>31</v>
      </c>
      <c r="K22" s="18">
        <v>46086</v>
      </c>
      <c r="L22" s="31" t="s">
        <v>8</v>
      </c>
      <c r="M22" s="31" t="s">
        <v>9</v>
      </c>
      <c r="N22" s="32">
        <v>0.47222222222222221</v>
      </c>
      <c r="O22" s="19" t="s">
        <v>11</v>
      </c>
    </row>
    <row r="23" spans="1:15" x14ac:dyDescent="0.2">
      <c r="A23" s="12">
        <v>46093</v>
      </c>
      <c r="B23" s="34" t="str">
        <f t="shared" si="6"/>
        <v>Thu</v>
      </c>
      <c r="C23" s="32">
        <f>C22+$H$1</f>
        <v>0.58333333333333315</v>
      </c>
      <c r="D23" s="34" t="str">
        <f t="shared" si="5"/>
        <v>Available</v>
      </c>
      <c r="E23" s="35"/>
      <c r="K23" s="18">
        <v>46086</v>
      </c>
      <c r="L23" s="31" t="s">
        <v>8</v>
      </c>
      <c r="M23" s="31" t="s">
        <v>9</v>
      </c>
      <c r="N23" s="32">
        <v>0.4861111111111111</v>
      </c>
      <c r="O23" s="19" t="s">
        <v>12</v>
      </c>
    </row>
    <row r="24" spans="1:15" x14ac:dyDescent="0.2">
      <c r="A24" s="12">
        <v>46093</v>
      </c>
      <c r="B24" s="34" t="str">
        <f t="shared" si="6"/>
        <v>Thu</v>
      </c>
      <c r="C24" s="32">
        <f>C23+$H$1</f>
        <v>0.59722222222222199</v>
      </c>
      <c r="D24" s="34" t="str">
        <f t="shared" si="5"/>
        <v>Unavailable</v>
      </c>
      <c r="E24" s="35"/>
      <c r="K24" s="18">
        <v>46086</v>
      </c>
      <c r="L24" s="31" t="s">
        <v>8</v>
      </c>
      <c r="M24" s="31" t="s">
        <v>9</v>
      </c>
      <c r="N24" s="32">
        <v>0.5</v>
      </c>
      <c r="O24" s="19" t="s">
        <v>14</v>
      </c>
    </row>
    <row r="25" spans="1:15" ht="17" thickBot="1" x14ac:dyDescent="0.25">
      <c r="A25" s="27">
        <v>46093</v>
      </c>
      <c r="B25" s="28" t="str">
        <f t="shared" si="6"/>
        <v>Thu</v>
      </c>
      <c r="C25" s="29">
        <f>C24+$H$1</f>
        <v>0.61111111111111083</v>
      </c>
      <c r="D25" s="28" t="str">
        <f t="shared" si="5"/>
        <v>Unavailable</v>
      </c>
      <c r="E25" s="36"/>
      <c r="K25" s="18">
        <v>46086</v>
      </c>
      <c r="L25" s="31" t="s">
        <v>8</v>
      </c>
      <c r="M25" s="31" t="s">
        <v>9</v>
      </c>
      <c r="N25" s="32">
        <v>0.51388888888888884</v>
      </c>
      <c r="O25" s="19" t="s">
        <v>15</v>
      </c>
    </row>
    <row r="26" spans="1:15" x14ac:dyDescent="0.2">
      <c r="A26" s="12">
        <v>46094</v>
      </c>
      <c r="B26" s="34" t="str">
        <f t="shared" si="6"/>
        <v>Fri</v>
      </c>
      <c r="C26" s="32">
        <v>0.47916666666666669</v>
      </c>
      <c r="D26" s="33" t="str">
        <f>IF(E26&lt;&gt;"","Booked","Available")</f>
        <v>Booked</v>
      </c>
      <c r="E26" s="35" t="s">
        <v>32</v>
      </c>
      <c r="K26" s="18">
        <v>46086</v>
      </c>
      <c r="L26" s="31" t="s">
        <v>8</v>
      </c>
      <c r="M26" s="31" t="s">
        <v>9</v>
      </c>
      <c r="N26" s="32">
        <v>0.52777777777777779</v>
      </c>
      <c r="O26" s="19"/>
    </row>
    <row r="27" spans="1:15" x14ac:dyDescent="0.2">
      <c r="A27" s="20">
        <v>46094</v>
      </c>
      <c r="B27" s="21" t="str">
        <f t="shared" si="6"/>
        <v>Fri</v>
      </c>
      <c r="C27" s="22">
        <f>C26+$H$1</f>
        <v>0.49305555555555558</v>
      </c>
      <c r="D27" s="21" t="str">
        <f t="shared" si="5"/>
        <v>Available</v>
      </c>
      <c r="E27" s="35"/>
      <c r="K27" s="18">
        <v>46087</v>
      </c>
      <c r="L27" s="31" t="s">
        <v>13</v>
      </c>
      <c r="M27" s="31" t="s">
        <v>9</v>
      </c>
      <c r="N27" s="32">
        <v>0.43055555555555558</v>
      </c>
      <c r="O27" s="19"/>
    </row>
    <row r="28" spans="1:15" x14ac:dyDescent="0.2">
      <c r="A28" s="12">
        <v>46094</v>
      </c>
      <c r="B28" s="34" t="str">
        <f t="shared" si="6"/>
        <v>Fri</v>
      </c>
      <c r="C28" s="32">
        <v>0.54166666666666663</v>
      </c>
      <c r="D28" s="33" t="str">
        <f>IF(E28&lt;&gt;"","Booked","Available")</f>
        <v>Booked</v>
      </c>
      <c r="E28" s="35" t="s">
        <v>33</v>
      </c>
      <c r="K28" s="18">
        <v>46087</v>
      </c>
      <c r="L28" s="31" t="s">
        <v>13</v>
      </c>
      <c r="M28" s="31" t="s">
        <v>9</v>
      </c>
      <c r="N28" s="32">
        <v>0.44444444444444442</v>
      </c>
      <c r="O28" s="19"/>
    </row>
    <row r="29" spans="1:15" x14ac:dyDescent="0.2">
      <c r="A29" s="12">
        <v>46094</v>
      </c>
      <c r="B29" s="34" t="str">
        <f t="shared" si="6"/>
        <v>Fri</v>
      </c>
      <c r="C29" s="32">
        <f t="shared" ref="C29:C34" si="7">C28+$H$1</f>
        <v>0.55555555555555547</v>
      </c>
      <c r="D29" s="34" t="str">
        <f t="shared" si="5"/>
        <v>Booked</v>
      </c>
      <c r="E29" s="35" t="s">
        <v>34</v>
      </c>
      <c r="K29" s="18">
        <v>46087</v>
      </c>
      <c r="L29" s="31" t="s">
        <v>13</v>
      </c>
      <c r="M29" s="31" t="s">
        <v>9</v>
      </c>
      <c r="N29" s="32">
        <v>0.45833333333333331</v>
      </c>
      <c r="O29" s="14"/>
    </row>
    <row r="30" spans="1:15" ht="17" thickBot="1" x14ac:dyDescent="0.25">
      <c r="A30" s="12">
        <v>46094</v>
      </c>
      <c r="B30" s="34" t="str">
        <f t="shared" si="6"/>
        <v>Fri</v>
      </c>
      <c r="C30" s="32">
        <f t="shared" si="7"/>
        <v>0.56944444444444431</v>
      </c>
      <c r="D30" s="34" t="str">
        <f t="shared" si="5"/>
        <v>Booked</v>
      </c>
      <c r="E30" s="35" t="s">
        <v>35</v>
      </c>
      <c r="K30" s="24">
        <v>46087</v>
      </c>
      <c r="L30" s="25" t="s">
        <v>13</v>
      </c>
      <c r="M30" s="25" t="s">
        <v>9</v>
      </c>
      <c r="N30" s="29">
        <v>0.47222222222222221</v>
      </c>
      <c r="O30" s="30"/>
    </row>
    <row r="31" spans="1:15" x14ac:dyDescent="0.2">
      <c r="A31" s="12">
        <v>46094</v>
      </c>
      <c r="B31" s="34" t="str">
        <f t="shared" si="6"/>
        <v>Fri</v>
      </c>
      <c r="C31" s="32">
        <f t="shared" si="7"/>
        <v>0.58333333333333315</v>
      </c>
      <c r="D31" s="34" t="str">
        <f t="shared" si="5"/>
        <v>Booked</v>
      </c>
      <c r="E31" s="35" t="s">
        <v>36</v>
      </c>
    </row>
    <row r="32" spans="1:15" x14ac:dyDescent="0.2">
      <c r="A32" s="12">
        <v>46094</v>
      </c>
      <c r="B32" s="34" t="str">
        <f t="shared" si="6"/>
        <v>Fri</v>
      </c>
      <c r="C32" s="32">
        <f t="shared" si="7"/>
        <v>0.59722222222222199</v>
      </c>
      <c r="D32" s="34" t="str">
        <f t="shared" si="5"/>
        <v>Available</v>
      </c>
      <c r="E32" s="35"/>
    </row>
    <row r="33" spans="1:11" x14ac:dyDescent="0.2">
      <c r="A33" s="12">
        <v>46094</v>
      </c>
      <c r="B33" s="34" t="str">
        <f t="shared" si="6"/>
        <v>Fri</v>
      </c>
      <c r="C33" s="32">
        <f t="shared" si="7"/>
        <v>0.61111111111111083</v>
      </c>
      <c r="D33" s="34" t="str">
        <f t="shared" si="5"/>
        <v>Unavailable</v>
      </c>
      <c r="E33" s="35"/>
      <c r="K33" t="s">
        <v>19</v>
      </c>
    </row>
    <row r="34" spans="1:11" ht="17" thickBot="1" x14ac:dyDescent="0.25">
      <c r="A34" s="27">
        <v>46094</v>
      </c>
      <c r="B34" s="28" t="str">
        <f t="shared" si="6"/>
        <v>Fri</v>
      </c>
      <c r="C34" s="29">
        <f t="shared" si="7"/>
        <v>0.62499999999999967</v>
      </c>
      <c r="D34" s="28" t="str">
        <f t="shared" si="5"/>
        <v>Unavailable</v>
      </c>
      <c r="E34" s="36"/>
      <c r="K34" t="s">
        <v>20</v>
      </c>
    </row>
    <row r="35" spans="1:11" x14ac:dyDescent="0.2">
      <c r="C35" s="13"/>
    </row>
    <row r="36" spans="1:11" x14ac:dyDescent="0.2">
      <c r="C36" s="13"/>
    </row>
  </sheetData>
  <conditionalFormatting sqref="D1:D36">
    <cfRule type="containsText" dxfId="2" priority="1" operator="containsText" text="Booked">
      <formula>NOT(ISERROR(SEARCH("Booked",D1)))</formula>
    </cfRule>
    <cfRule type="containsText" dxfId="1" priority="2" stopIfTrue="1" operator="containsText" text="Unavailable">
      <formula>NOT(ISERROR(SEARCH("Unavailable",D1)))</formula>
    </cfRule>
    <cfRule type="containsText" dxfId="0" priority="3" stopIfTrue="1" operator="containsText" text="Available">
      <formula>NOT(ISERROR(SEARCH("Available",D1)))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Reddington, J</dc:creator>
  <cp:lastModifiedBy>Reddington, J</cp:lastModifiedBy>
  <dcterms:created xsi:type="dcterms:W3CDTF">2026-03-12T07:39:50Z</dcterms:created>
  <dcterms:modified xsi:type="dcterms:W3CDTF">2026-03-12T07:44:51Z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4496a64-e0e3-4038-91bc-493f618853ad_Enabled">
    <vt:lpwstr>true</vt:lpwstr>
  </property>
  <property fmtid="{D5CDD505-2E9C-101B-9397-08002B2CF9AE}" pid="3" name="MSIP_Label_c4496a64-e0e3-4038-91bc-493f618853ad_SetDate">
    <vt:lpwstr>2026-03-12T07:42:30Z</vt:lpwstr>
  </property>
  <property fmtid="{D5CDD505-2E9C-101B-9397-08002B2CF9AE}" pid="4" name="MSIP_Label_c4496a64-e0e3-4038-91bc-493f618853ad_Method">
    <vt:lpwstr>Standard</vt:lpwstr>
  </property>
  <property fmtid="{D5CDD505-2E9C-101B-9397-08002B2CF9AE}" pid="5" name="MSIP_Label_c4496a64-e0e3-4038-91bc-493f618853ad_Name">
    <vt:lpwstr>General</vt:lpwstr>
  </property>
  <property fmtid="{D5CDD505-2E9C-101B-9397-08002B2CF9AE}" pid="6" name="MSIP_Label_c4496a64-e0e3-4038-91bc-493f618853ad_SiteId">
    <vt:lpwstr>2efd699a-1922-4e69-b601-108008d28a2e</vt:lpwstr>
  </property>
  <property fmtid="{D5CDD505-2E9C-101B-9397-08002B2CF9AE}" pid="7" name="MSIP_Label_c4496a64-e0e3-4038-91bc-493f618853ad_ActionId">
    <vt:lpwstr>524cd677-293b-4be1-a0d4-66546445eeca</vt:lpwstr>
  </property>
  <property fmtid="{D5CDD505-2E9C-101B-9397-08002B2CF9AE}" pid="8" name="MSIP_Label_c4496a64-e0e3-4038-91bc-493f618853ad_ContentBits">
    <vt:lpwstr>0</vt:lpwstr>
  </property>
  <property fmtid="{D5CDD505-2E9C-101B-9397-08002B2CF9AE}" pid="9" name="MSIP_Label_c4496a64-e0e3-4038-91bc-493f618853ad_Tag">
    <vt:lpwstr>50, 3, 0, 1</vt:lpwstr>
  </property>
</Properties>
</file>